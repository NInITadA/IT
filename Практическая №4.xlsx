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nILap\Downloads\"/>
    </mc:Choice>
  </mc:AlternateContent>
  <xr:revisionPtr revIDLastSave="0" documentId="8_{F809E162-22BA-4198-8F73-2F4A218C3D70}" xr6:coauthVersionLast="47" xr6:coauthVersionMax="47" xr10:uidLastSave="{00000000-0000-0000-0000-000000000000}"/>
  <bookViews>
    <workbookView xWindow="8280" yWindow="0" windowWidth="17736" windowHeight="16656" activeTab="1" xr2:uid="{93A0A250-FD87-44B3-9E22-5B84F774EA5B}"/>
  </bookViews>
  <sheets>
    <sheet name="Зарплата" sheetId="1" r:id="rId1"/>
    <sheet name="Товар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2" l="1"/>
  <c r="F3" i="2"/>
  <c r="F4" i="2"/>
  <c r="F5" i="2"/>
  <c r="F2" i="2"/>
  <c r="E3" i="2"/>
  <c r="E4" i="2"/>
  <c r="E5" i="2"/>
  <c r="E2" i="2"/>
  <c r="B11" i="1"/>
  <c r="B10" i="1"/>
  <c r="B9" i="1"/>
  <c r="F7" i="1"/>
  <c r="D7" i="1"/>
  <c r="E7" i="1"/>
  <c r="B7" i="1"/>
  <c r="J3" i="1"/>
  <c r="J4" i="1"/>
  <c r="J5" i="1"/>
  <c r="J6" i="1"/>
  <c r="J2" i="1"/>
  <c r="E3" i="1"/>
  <c r="E4" i="1"/>
  <c r="E5" i="1"/>
  <c r="E6" i="1"/>
  <c r="E2" i="1"/>
  <c r="F2" i="1" s="1"/>
  <c r="F3" i="1"/>
  <c r="F4" i="1"/>
  <c r="F5" i="1"/>
  <c r="F6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<sst xmlns="http://schemas.openxmlformats.org/spreadsheetml/2006/main" count="30" uniqueCount="29">
  <si>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</si>
  <si>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</si>
  <si>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</si>
  <si>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</si>
  <si>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</si>
  <si>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</si>
  <si>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 xml:space="preserve">Иванов И.И. </t>
  </si>
  <si>
    <t>Петров П.П.</t>
  </si>
  <si>
    <t>Сидоров С.С.</t>
  </si>
  <si>
    <t>Кузнецова К.К.</t>
  </si>
  <si>
    <t>Смирнов С.С.</t>
  </si>
  <si>
    <t>№ п/п</t>
  </si>
  <si>
    <t>Ставка НДФЛ</t>
  </si>
  <si>
    <t>Коэффициент</t>
  </si>
  <si>
    <t>ИТОГО:</t>
  </si>
  <si>
    <t>Средняя зарплата:</t>
  </si>
  <si>
    <t>Максимум:</t>
  </si>
  <si>
    <t>Минимум:</t>
  </si>
  <si>
    <t>Товар</t>
  </si>
  <si>
    <t>Стоимость</t>
  </si>
  <si>
    <t>Ноутбук</t>
  </si>
  <si>
    <t>Монитор</t>
  </si>
  <si>
    <t>Клавиатура</t>
  </si>
  <si>
    <t>Мышь</t>
  </si>
  <si>
    <t>Цена за ед.</t>
  </si>
  <si>
    <t>Кол-во</t>
  </si>
  <si>
    <t>Скидка %</t>
  </si>
  <si>
    <t>Итого со скидкой</t>
  </si>
  <si>
    <t>НДС (20%)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</si>
</sst>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4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3" fillId="2" borderId="0" xfId="0" applyFont="1" applyFill="1"/>
    <xf numFmtId="44" fontId="3" fillId="2" borderId="0" xfId="1" applyFont="1" applyFill="1"/>
    <xf numFmtId="44" fontId="0" fillId="0" borderId="0" xfId="1" applyFont="1"/>
    <xf numFmtId="0" fontId="3" fillId="2" borderId="0" xfId="1" applyNumberFormat="1" applyFont="1" applyFill="1"/>
    <xf numFmtId="0" fontId="0" fillId="0" borderId="0" xfId="0" applyNumberFormat="1"/>
    <xf numFmtId="0" fontId="0" fillId="3" borderId="0" xfId="0" applyFill="1"/>
    <xf numFmtId="0" fontId="0" fillId="4" borderId="0" xfId="0" applyFill="1"/>
    <xf numFmtId="44" fontId="0" fillId="0" borderId="0" xfId="0" applyNumberForma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19211-B219-4C4E-9D5D-61E8DCBE571B}">
  <dimension ref="A1:J11"/>
  <sheetViews>
    <sheetView workbookViewId="0">
      <selection activeCell="D15" sqref="D15"/>
    </sheetView>
  </sheetViews>
  <sheetFormatPr defaultRowHeight="14.4" x14ac:dyDescent="0.3"/>
  <cols>
    <col min="1" max="1" width="17.5546875" bestFit="1" customWidth="1"/>
    <col min="2" max="2" width="13.109375" style="3" bestFit="1" customWidth="1"/>
    <col min="3" max="3" width="11.109375" bestFit="1" customWidth="1"/>
    <col min="4" max="4" width="14.5546875" style="3" bestFit="1" customWidth="1"/>
    <col min="5" max="5" width="12.88671875" style="3" bestFit="1" customWidth="1"/>
    <col min="6" max="6" width="12.5546875" style="3" bestFit="1" customWidth="1"/>
    <col min="7" max="7" width="6.21875" style="5" bestFit="1" customWidth="1"/>
    <col min="8" max="8" width="12.6640625" bestFit="1" customWidth="1"/>
    <col min="9" max="9" width="13.109375" bestFit="1" customWidth="1"/>
    <col min="10" max="10" width="11.5546875" bestFit="1" customWidth="1"/>
  </cols>
  <sheetData>
    <row r="1" spans="1:10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4" t="s">
        <v>11</v>
      </c>
      <c r="H1" s="4" t="s">
        <v>12</v>
      </c>
      <c r="I1" s="4" t="s">
        <v>13</v>
      </c>
    </row>
    <row r="2" spans="1:10" x14ac:dyDescent="0.3">
      <c r="A2" t="s">
        <v>6</v>
      </c>
      <c r="B2" s="3">
        <v>50000</v>
      </c>
      <c r="C2">
        <v>20</v>
      </c>
      <c r="D2" s="3">
        <f>B2*C2/100</f>
        <v>10000</v>
      </c>
      <c r="E2" s="3">
        <f>(B2+D2)*$H$2</f>
        <v>9000</v>
      </c>
      <c r="F2" s="3">
        <f>B2+D2-E2</f>
        <v>51000</v>
      </c>
      <c r="G2" s="5">
        <v>1</v>
      </c>
      <c r="H2" s="6">
        <v>0.15</v>
      </c>
      <c r="I2" s="7">
        <v>1.5</v>
      </c>
      <c r="J2" s="8">
        <f>B2*$I$2</f>
        <v>75000</v>
      </c>
    </row>
    <row r="3" spans="1:10" x14ac:dyDescent="0.3">
      <c r="A3" t="s">
        <v>7</v>
      </c>
      <c r="B3" s="3">
        <v>45000</v>
      </c>
      <c r="C3">
        <v>15</v>
      </c>
      <c r="D3" s="3">
        <f t="shared" ref="D3:D6" si="0">B3*C3/100</f>
        <v>6750</v>
      </c>
      <c r="E3" s="3">
        <f t="shared" ref="E3:E6" si="1">(B3+D3)*$H$2</f>
        <v>7762.5</v>
      </c>
      <c r="F3" s="3">
        <f t="shared" ref="F3:F6" si="2">B3+D3-E3</f>
        <v>43987.5</v>
      </c>
      <c r="G3" s="5">
        <v>2</v>
      </c>
      <c r="J3" s="8">
        <f t="shared" ref="J3:J6" si="3">B3*$I$2</f>
        <v>67500</v>
      </c>
    </row>
    <row r="4" spans="1:10" x14ac:dyDescent="0.3">
      <c r="A4" t="s">
        <v>8</v>
      </c>
      <c r="B4" s="3">
        <v>62000</v>
      </c>
      <c r="C4">
        <v>25</v>
      </c>
      <c r="D4" s="3">
        <f t="shared" si="0"/>
        <v>15500</v>
      </c>
      <c r="E4" s="3">
        <f t="shared" si="1"/>
        <v>11625</v>
      </c>
      <c r="F4" s="3">
        <f t="shared" si="2"/>
        <v>65875</v>
      </c>
      <c r="G4" s="5">
        <v>3</v>
      </c>
      <c r="J4" s="8">
        <f t="shared" si="3"/>
        <v>93000</v>
      </c>
    </row>
    <row r="5" spans="1:10" x14ac:dyDescent="0.3">
      <c r="A5" t="s">
        <v>9</v>
      </c>
      <c r="B5" s="3">
        <v>55000</v>
      </c>
      <c r="C5">
        <v>10</v>
      </c>
      <c r="D5" s="3">
        <f t="shared" si="0"/>
        <v>5500</v>
      </c>
      <c r="E5" s="3">
        <f t="shared" si="1"/>
        <v>9075</v>
      </c>
      <c r="F5" s="3">
        <f t="shared" si="2"/>
        <v>51425</v>
      </c>
      <c r="G5" s="5">
        <v>4</v>
      </c>
      <c r="J5" s="8">
        <f t="shared" si="3"/>
        <v>82500</v>
      </c>
    </row>
    <row r="6" spans="1:10" x14ac:dyDescent="0.3">
      <c r="A6" t="s">
        <v>10</v>
      </c>
      <c r="B6" s="3">
        <v>40000</v>
      </c>
      <c r="C6">
        <v>30</v>
      </c>
      <c r="D6" s="3">
        <f t="shared" si="0"/>
        <v>12000</v>
      </c>
      <c r="E6" s="3">
        <f t="shared" si="1"/>
        <v>7800</v>
      </c>
      <c r="F6" s="3">
        <f t="shared" si="2"/>
        <v>44200</v>
      </c>
      <c r="G6" s="5">
        <v>5</v>
      </c>
      <c r="J6" s="8">
        <f t="shared" si="3"/>
        <v>60000</v>
      </c>
    </row>
    <row r="7" spans="1:10" x14ac:dyDescent="0.3">
      <c r="A7" s="9" t="s">
        <v>14</v>
      </c>
      <c r="B7" s="3">
        <f>SUM(B2:B6)</f>
        <v>252000</v>
      </c>
      <c r="C7" s="3"/>
      <c r="D7" s="3">
        <f t="shared" ref="C7:F7" si="4">SUM(D2:D6)</f>
        <v>49750</v>
      </c>
      <c r="E7" s="3">
        <f t="shared" si="4"/>
        <v>45262.5</v>
      </c>
      <c r="F7" s="3">
        <f>SUM(F2:F6)</f>
        <v>256487.5</v>
      </c>
    </row>
    <row r="8" spans="1:10" x14ac:dyDescent="0.3">
      <c r="A8" s="10"/>
    </row>
    <row r="9" spans="1:10" x14ac:dyDescent="0.3">
      <c r="A9" s="9" t="s">
        <v>15</v>
      </c>
      <c r="B9" s="3">
        <f>AVERAGE(F2:F6)</f>
        <v>51297.5</v>
      </c>
    </row>
    <row r="10" spans="1:10" x14ac:dyDescent="0.3">
      <c r="A10" s="9" t="s">
        <v>16</v>
      </c>
      <c r="B10" s="3">
        <f>MAX(F2:F6)</f>
        <v>65875</v>
      </c>
    </row>
    <row r="11" spans="1:10" x14ac:dyDescent="0.3">
      <c r="A11" s="9" t="s">
        <v>17</v>
      </c>
      <c r="B11" s="3">
        <f>MIN(F2:F6)</f>
        <v>43987.5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DC989-D52B-4C6D-89EA-2C939ED3397E}">
  <dimension ref="A1:G6"/>
  <sheetViews>
    <sheetView tabSelected="1" workbookViewId="0">
      <selection activeCell="F7" sqref="F7"/>
    </sheetView>
  </sheetViews>
  <sheetFormatPr defaultRowHeight="14.4" x14ac:dyDescent="0.3"/>
  <cols>
    <col min="1" max="1" width="10.5546875" bestFit="1" customWidth="1"/>
    <col min="2" max="2" width="10.44140625" bestFit="1" customWidth="1"/>
    <col min="3" max="3" width="6.5546875" bestFit="1" customWidth="1"/>
    <col min="5" max="5" width="10" bestFit="1" customWidth="1"/>
    <col min="6" max="6" width="15.5546875" bestFit="1" customWidth="1"/>
  </cols>
  <sheetData>
    <row r="1" spans="1:7" x14ac:dyDescent="0.3">
      <c r="A1" s="11" t="s">
        <v>18</v>
      </c>
      <c r="B1" t="s">
        <v>24</v>
      </c>
      <c r="C1" t="s">
        <v>25</v>
      </c>
      <c r="D1" t="s">
        <v>26</v>
      </c>
      <c r="E1" s="11" t="s">
        <v>19</v>
      </c>
      <c r="F1" t="s">
        <v>27</v>
      </c>
      <c r="G1" t="s">
        <v>28</v>
      </c>
    </row>
    <row r="2" spans="1:7" x14ac:dyDescent="0.3">
      <c r="A2" t="s">
        <v>20</v>
      </c>
      <c r="B2">
        <v>45000</v>
      </c>
      <c r="C2">
        <v>5</v>
      </c>
      <c r="D2">
        <v>5</v>
      </c>
      <c r="E2">
        <f>(B2*C2)*$G$2</f>
        <v>270000</v>
      </c>
      <c r="F2">
        <f>E2*(1-D2/100)</f>
        <v>256500</v>
      </c>
      <c r="G2">
        <v>1.2</v>
      </c>
    </row>
    <row r="3" spans="1:7" x14ac:dyDescent="0.3">
      <c r="A3" t="s">
        <v>21</v>
      </c>
      <c r="B3">
        <v>18000</v>
      </c>
      <c r="C3">
        <v>10</v>
      </c>
      <c r="D3">
        <v>3</v>
      </c>
      <c r="E3">
        <f t="shared" ref="E3:E5" si="0">(B3*C3)*$G$2</f>
        <v>216000</v>
      </c>
      <c r="F3">
        <f t="shared" ref="F3:F5" si="1">E3*(1-D3/100)</f>
        <v>209520</v>
      </c>
    </row>
    <row r="4" spans="1:7" x14ac:dyDescent="0.3">
      <c r="A4" t="s">
        <v>22</v>
      </c>
      <c r="B4">
        <v>1500</v>
      </c>
      <c r="C4">
        <v>25</v>
      </c>
      <c r="D4">
        <v>10</v>
      </c>
      <c r="E4">
        <f t="shared" si="0"/>
        <v>45000</v>
      </c>
      <c r="F4">
        <f t="shared" si="1"/>
        <v>40500</v>
      </c>
    </row>
    <row r="5" spans="1:7" x14ac:dyDescent="0.3">
      <c r="A5" t="s">
        <v>23</v>
      </c>
      <c r="B5">
        <v>800</v>
      </c>
      <c r="C5">
        <v>30</v>
      </c>
      <c r="D5">
        <v>7</v>
      </c>
      <c r="E5">
        <f t="shared" si="0"/>
        <v>28800</v>
      </c>
      <c r="F5">
        <f t="shared" si="1"/>
        <v>26784</v>
      </c>
    </row>
    <row r="6" spans="1:7" x14ac:dyDescent="0.3">
      <c r="E6" s="9" t="s">
        <v>14</v>
      </c>
      <c r="F6">
        <f>SUM(F2:F5)</f>
        <v>533304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Зарплата</vt:lpstr>
      <vt:lpstr>Товары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NInITadA III</dc:creator>
  <cp:lastModifiedBy>NInITadA III</cp:lastModifiedBy>
  <dcterms:created xsi:type="dcterms:W3CDTF">2026-09-23T10:18:13Z</dcterms:created>
  <dcterms:modified xsi:type="dcterms:W3CDTF">2026-09-23T10:54:06Z</dcterms:modified>
</cp:coreProperties>
</file>